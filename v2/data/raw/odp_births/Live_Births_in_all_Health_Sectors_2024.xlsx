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laaa\Desktop\DATA REEM 1-1\"/>
    </mc:Choice>
  </mc:AlternateContent>
  <xr:revisionPtr revIDLastSave="0" documentId="8_{F21C3E36-8C18-4967-8B33-94137E98DC09}" xr6:coauthVersionLast="47" xr6:coauthVersionMax="47" xr10:uidLastSave="{00000000-0000-0000-0000-000000000000}"/>
  <bookViews>
    <workbookView xWindow="-110" yWindow="-110" windowWidth="19420" windowHeight="11620" xr2:uid="{8F1B174E-B39A-4857-BECB-A6DF781A23B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1" l="1"/>
  <c r="H22" i="1"/>
  <c r="G22" i="1"/>
  <c r="F22" i="1"/>
  <c r="E22" i="1"/>
  <c r="C22" i="1"/>
  <c r="B22" i="1"/>
  <c r="A22" i="1"/>
  <c r="I21" i="1"/>
  <c r="H21" i="1"/>
  <c r="G21" i="1"/>
  <c r="F21" i="1"/>
  <c r="E21" i="1"/>
  <c r="C21" i="1"/>
  <c r="B21" i="1"/>
  <c r="A21" i="1"/>
  <c r="I20" i="1"/>
  <c r="H20" i="1"/>
  <c r="G20" i="1"/>
  <c r="F20" i="1"/>
  <c r="E20" i="1"/>
  <c r="C20" i="1"/>
  <c r="B20" i="1"/>
  <c r="A20" i="1"/>
  <c r="D20" i="1" s="1"/>
  <c r="I19" i="1"/>
  <c r="H19" i="1"/>
  <c r="G19" i="1"/>
  <c r="F19" i="1"/>
  <c r="E19" i="1"/>
  <c r="C19" i="1"/>
  <c r="B19" i="1"/>
  <c r="A19" i="1"/>
  <c r="I18" i="1"/>
  <c r="H18" i="1"/>
  <c r="G18" i="1"/>
  <c r="F18" i="1"/>
  <c r="E18" i="1"/>
  <c r="C18" i="1"/>
  <c r="B18" i="1"/>
  <c r="A18" i="1"/>
  <c r="D18" i="1" s="1"/>
  <c r="I17" i="1"/>
  <c r="H17" i="1"/>
  <c r="G17" i="1"/>
  <c r="F17" i="1"/>
  <c r="E17" i="1"/>
  <c r="C17" i="1"/>
  <c r="B17" i="1"/>
  <c r="A17" i="1"/>
  <c r="I16" i="1"/>
  <c r="H16" i="1"/>
  <c r="G16" i="1"/>
  <c r="F16" i="1"/>
  <c r="E16" i="1"/>
  <c r="C16" i="1"/>
  <c r="B16" i="1"/>
  <c r="A16" i="1"/>
  <c r="D16" i="1" s="1"/>
  <c r="I15" i="1"/>
  <c r="H15" i="1"/>
  <c r="G15" i="1"/>
  <c r="F15" i="1"/>
  <c r="E15" i="1"/>
  <c r="C15" i="1"/>
  <c r="B15" i="1"/>
  <c r="A15" i="1"/>
  <c r="I14" i="1"/>
  <c r="H14" i="1"/>
  <c r="G14" i="1"/>
  <c r="F14" i="1"/>
  <c r="E14" i="1"/>
  <c r="C14" i="1"/>
  <c r="B14" i="1"/>
  <c r="A14" i="1"/>
  <c r="I13" i="1"/>
  <c r="H13" i="1"/>
  <c r="G13" i="1"/>
  <c r="F13" i="1"/>
  <c r="E13" i="1"/>
  <c r="C13" i="1"/>
  <c r="B13" i="1"/>
  <c r="A13" i="1"/>
  <c r="D13" i="1" s="1"/>
  <c r="I12" i="1"/>
  <c r="H12" i="1"/>
  <c r="G12" i="1"/>
  <c r="F12" i="1"/>
  <c r="E12" i="1"/>
  <c r="C12" i="1"/>
  <c r="B12" i="1"/>
  <c r="A12" i="1"/>
  <c r="I11" i="1"/>
  <c r="H11" i="1"/>
  <c r="G11" i="1"/>
  <c r="F11" i="1"/>
  <c r="E11" i="1"/>
  <c r="C11" i="1"/>
  <c r="B11" i="1"/>
  <c r="A11" i="1"/>
  <c r="D11" i="1" s="1"/>
  <c r="I10" i="1"/>
  <c r="H10" i="1"/>
  <c r="G10" i="1"/>
  <c r="F10" i="1"/>
  <c r="E10" i="1"/>
  <c r="C10" i="1"/>
  <c r="B10" i="1"/>
  <c r="A10" i="1"/>
  <c r="I9" i="1"/>
  <c r="H9" i="1"/>
  <c r="G9" i="1"/>
  <c r="F9" i="1"/>
  <c r="E9" i="1"/>
  <c r="C9" i="1"/>
  <c r="B9" i="1"/>
  <c r="A9" i="1"/>
  <c r="I8" i="1"/>
  <c r="H8" i="1"/>
  <c r="G8" i="1"/>
  <c r="F8" i="1"/>
  <c r="E8" i="1"/>
  <c r="C8" i="1"/>
  <c r="B8" i="1"/>
  <c r="A8" i="1"/>
  <c r="I7" i="1"/>
  <c r="H7" i="1"/>
  <c r="G7" i="1"/>
  <c r="F7" i="1"/>
  <c r="E7" i="1"/>
  <c r="C7" i="1"/>
  <c r="B7" i="1"/>
  <c r="A7" i="1"/>
  <c r="I6" i="1"/>
  <c r="H6" i="1"/>
  <c r="G6" i="1"/>
  <c r="F6" i="1"/>
  <c r="E6" i="1"/>
  <c r="C6" i="1"/>
  <c r="B6" i="1"/>
  <c r="A6" i="1"/>
  <c r="D6" i="1" s="1"/>
  <c r="I5" i="1"/>
  <c r="H5" i="1"/>
  <c r="G5" i="1"/>
  <c r="F5" i="1"/>
  <c r="E5" i="1"/>
  <c r="C5" i="1"/>
  <c r="B5" i="1"/>
  <c r="A5" i="1"/>
  <c r="I4" i="1"/>
  <c r="H4" i="1"/>
  <c r="G4" i="1"/>
  <c r="F4" i="1"/>
  <c r="E4" i="1"/>
  <c r="C4" i="1"/>
  <c r="B4" i="1"/>
  <c r="A4" i="1"/>
  <c r="D4" i="1" s="1"/>
  <c r="I3" i="1"/>
  <c r="H3" i="1"/>
  <c r="G3" i="1"/>
  <c r="F3" i="1"/>
  <c r="E3" i="1"/>
  <c r="C3" i="1"/>
  <c r="B3" i="1"/>
  <c r="A3" i="1"/>
  <c r="D8" i="1" l="1"/>
  <c r="D19" i="1"/>
  <c r="D12" i="1"/>
  <c r="D21" i="1"/>
  <c r="D14" i="1"/>
  <c r="A23" i="1"/>
  <c r="H23" i="1"/>
  <c r="D15" i="1"/>
  <c r="G23" i="1"/>
  <c r="B23" i="1"/>
  <c r="D10" i="1"/>
  <c r="D22" i="1"/>
  <c r="D9" i="1"/>
  <c r="F23" i="1"/>
  <c r="I23" i="1"/>
  <c r="C23" i="1"/>
  <c r="D5" i="1"/>
  <c r="E23" i="1"/>
  <c r="D17" i="1"/>
  <c r="D7" i="1"/>
  <c r="D3" i="1"/>
  <c r="D23" i="1" l="1"/>
  <c r="I24" i="1" s="1"/>
  <c r="D24" i="1" l="1"/>
  <c r="F24" i="1"/>
  <c r="A24" i="1"/>
  <c r="G24" i="1"/>
  <c r="H24" i="1"/>
  <c r="C24" i="1"/>
  <c r="E24" i="1"/>
  <c r="B24" i="1"/>
</calcChain>
</file>

<file path=xl/sharedStrings.xml><?xml version="1.0" encoding="utf-8"?>
<sst xmlns="http://schemas.openxmlformats.org/spreadsheetml/2006/main" count="42" uniqueCount="33">
  <si>
    <t>Type of Delivery</t>
  </si>
  <si>
    <t>Gender</t>
  </si>
  <si>
    <t>Nationality</t>
  </si>
  <si>
    <t>MoH Branches &amp; Offices</t>
  </si>
  <si>
    <t xml:space="preserve">Normal </t>
  </si>
  <si>
    <t>C.S.</t>
  </si>
  <si>
    <t>Undefined</t>
  </si>
  <si>
    <t>Total</t>
  </si>
  <si>
    <t>Male</t>
  </si>
  <si>
    <t>Female</t>
  </si>
  <si>
    <t>Saudi</t>
  </si>
  <si>
    <t>Non-Saudi</t>
  </si>
  <si>
    <t>Riyadh</t>
  </si>
  <si>
    <t>The Holy Capital</t>
  </si>
  <si>
    <t>Jeddah</t>
  </si>
  <si>
    <t>Taif</t>
  </si>
  <si>
    <t>Madinah</t>
  </si>
  <si>
    <t>Qassim</t>
  </si>
  <si>
    <t>Eastern</t>
  </si>
  <si>
    <t>Al Ahsa</t>
  </si>
  <si>
    <t>Hafr Al Baten</t>
  </si>
  <si>
    <t>Asir</t>
  </si>
  <si>
    <t>Bishah</t>
  </si>
  <si>
    <t>Tabuk</t>
  </si>
  <si>
    <t>Hail</t>
  </si>
  <si>
    <t>Northern Borders</t>
  </si>
  <si>
    <t>Jazan</t>
  </si>
  <si>
    <t>Najran</t>
  </si>
  <si>
    <t>Al Baha</t>
  </si>
  <si>
    <t>Al Jouf</t>
  </si>
  <si>
    <t>Qurayyat</t>
  </si>
  <si>
    <t>Qunfudah</t>
  </si>
  <si>
    <t xml:space="preserve"> % of total  live births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</si>
</sst>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MS Sans Serif"/>
      <charset val="178"/>
    </font>
    <font>
      <sz val="16"/>
      <color theme="0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657"/>
        <bgColor indexed="64"/>
      </patternFill>
    </fill>
    <fill>
      <patternFill patternType="solid">
        <fgColor rgb="FFD5D2B9"/>
        <bgColor indexed="64"/>
      </patternFill>
    </fill>
    <fill>
      <patternFill patternType="solid">
        <fgColor rgb="FFE2EFDA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5" fillId="0" borderId="0"/>
    <xf numFmtId="0" fontId="3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3" fontId="2" fillId="2" borderId="3" xfId="2" applyNumberFormat="1" applyFont="1" applyFill="1" applyBorder="1" applyAlignment="1">
      <alignment horizontal="left" vertical="center" wrapText="1"/>
    </xf>
    <xf numFmtId="3" fontId="2" fillId="2" borderId="2" xfId="2" applyNumberFormat="1" applyFont="1" applyFill="1" applyBorder="1" applyAlignment="1">
      <alignment horizontal="center" vertical="center" wrapText="1"/>
    </xf>
    <xf numFmtId="3" fontId="7" fillId="4" borderId="5" xfId="3" applyNumberFormat="1" applyFont="1" applyFill="1" applyBorder="1" applyAlignment="1">
      <alignment horizontal="center" vertical="center"/>
    </xf>
    <xf numFmtId="3" fontId="6" fillId="3" borderId="2" xfId="2" applyNumberFormat="1" applyFont="1" applyFill="1" applyBorder="1" applyAlignment="1">
      <alignment horizontal="center" vertical="center" wrapText="1"/>
    </xf>
    <xf numFmtId="3" fontId="8" fillId="2" borderId="2" xfId="3" applyNumberFormat="1" applyFont="1" applyFill="1" applyBorder="1" applyAlignment="1">
      <alignment horizontal="center" vertical="center"/>
    </xf>
    <xf numFmtId="2" fontId="8" fillId="2" borderId="6" xfId="3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 wrapText="1"/>
    </xf>
    <xf numFmtId="164" fontId="2" fillId="2" borderId="1" xfId="4" applyNumberFormat="1" applyFont="1" applyFill="1" applyBorder="1" applyAlignment="1">
      <alignment horizontal="center" vertical="center" wrapText="1"/>
    </xf>
    <xf numFmtId="10" fontId="2" fillId="2" borderId="1" xfId="4" applyNumberFormat="1" applyFont="1" applyFill="1" applyBorder="1" applyAlignment="1">
      <alignment horizontal="center" vertical="center" wrapText="1"/>
    </xf>
    <xf numFmtId="165" fontId="2" fillId="2" borderId="1" xfId="4" applyNumberFormat="1" applyFont="1" applyFill="1" applyBorder="1" applyAlignment="1">
      <alignment horizontal="center" vertical="center" wrapText="1"/>
    </xf>
    <xf numFmtId="3" fontId="4" fillId="2" borderId="4" xfId="2" applyNumberFormat="1" applyFont="1" applyFill="1" applyBorder="1" applyAlignment="1">
      <alignment vertical="center" wrapText="1"/>
    </xf>
    <xf numFmtId="3" fontId="2" fillId="2" borderId="3" xfId="2" applyNumberFormat="1" applyFont="1" applyFill="1" applyBorder="1" applyAlignment="1">
      <alignment vertical="center" wrapText="1"/>
    </xf>
  </cellXfs>
  <cellStyles count="5">
    <cellStyle name="Normal" xfId="0" builtinId="0"/>
    <cellStyle name="Normal 11" xfId="1" xr:uid="{F7B8DFF5-2E32-4CF5-8508-C8CC69AC2B24}"/>
    <cellStyle name="Normal 2 6" xfId="3" xr:uid="{CC11DAED-4C87-45EC-98A6-C0A82734C30E}"/>
    <cellStyle name="Normal 3 4" xfId="2" xr:uid="{414BD376-0581-4C4F-842F-6EA14E7DE2BB}"/>
    <cellStyle name="Percent 2" xfId="4" xr:uid="{9204A4F6-8A19-4136-BE31-C05FE008C3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laaa/Downloads/Statistical-Yearbook-2024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المناطق عربي"/>
      <sheetName val="المناطق انجليزي"/>
      <sheetName val="فهرس الباب الأول"/>
      <sheetName val="1-1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1-11"/>
      <sheetName val="1-12"/>
      <sheetName val="فهرس الباب الثاني"/>
      <sheetName val="2-1"/>
      <sheetName val="2-2"/>
      <sheetName val="2-3"/>
      <sheetName val="2-4"/>
      <sheetName val="2-5"/>
      <sheetName val="2-6"/>
      <sheetName val="2-7"/>
      <sheetName val="2-8"/>
      <sheetName val="2-9"/>
      <sheetName val="2-10"/>
      <sheetName val="2-11"/>
      <sheetName val="2-12"/>
      <sheetName val="2-13"/>
      <sheetName val="2-14"/>
      <sheetName val="2-15"/>
      <sheetName val="2-16"/>
      <sheetName val="2-17"/>
      <sheetName val="2-18"/>
      <sheetName val="2-19"/>
      <sheetName val="2-20"/>
      <sheetName val="2-21"/>
      <sheetName val="2-22"/>
      <sheetName val="2-23"/>
      <sheetName val="2-24"/>
      <sheetName val="2-25"/>
      <sheetName val="2-26"/>
      <sheetName val="2-27"/>
      <sheetName val="2-28"/>
      <sheetName val="2-29"/>
      <sheetName val="2-30"/>
      <sheetName val="2-31"/>
      <sheetName val="2-32"/>
      <sheetName val="2-33"/>
      <sheetName val="2-34"/>
      <sheetName val="2-35"/>
      <sheetName val="2-36"/>
      <sheetName val="2-37"/>
      <sheetName val="2-38"/>
      <sheetName val="2-39"/>
      <sheetName val="2-40"/>
      <sheetName val="2-41"/>
      <sheetName val="2-42"/>
      <sheetName val="2-43"/>
      <sheetName val="2-44"/>
      <sheetName val="2-45"/>
      <sheetName val="2-46"/>
      <sheetName val="2-47"/>
      <sheetName val="2-48"/>
      <sheetName val="2-49"/>
      <sheetName val="2-50"/>
      <sheetName val="2-51"/>
      <sheetName val="2-52"/>
      <sheetName val="2-53"/>
      <sheetName val="2-54"/>
      <sheetName val="2-55"/>
      <sheetName val="2-56"/>
      <sheetName val="2-57"/>
      <sheetName val="2-58"/>
      <sheetName val="2-59"/>
      <sheetName val="2-60"/>
      <sheetName val="فهرس الباب الثالث"/>
      <sheetName val="3-1"/>
      <sheetName val="3-2"/>
      <sheetName val="3-2تكملة"/>
      <sheetName val="3-3"/>
      <sheetName val="3-4"/>
      <sheetName val="3-5"/>
      <sheetName val="3-6"/>
      <sheetName val="3-7"/>
      <sheetName val="3-8"/>
      <sheetName val="3.9"/>
      <sheetName val="3-10"/>
      <sheetName val="3-11"/>
      <sheetName val="3-12"/>
      <sheetName val="3-13"/>
      <sheetName val="3-14"/>
      <sheetName val="3-15"/>
      <sheetName val="3-16"/>
      <sheetName val="3-17"/>
      <sheetName val="3-18"/>
      <sheetName val="3-19"/>
      <sheetName val="3-20"/>
      <sheetName val="3-21"/>
      <sheetName val="3.22"/>
      <sheetName val="3-23"/>
      <sheetName val="فهرس الباب الرابع"/>
      <sheetName val="4-1"/>
      <sheetName val="4-2"/>
      <sheetName val="4-3"/>
      <sheetName val="4-4"/>
      <sheetName val="4-5"/>
      <sheetName val="4-6"/>
      <sheetName val="4-7"/>
      <sheetName val="4-8"/>
      <sheetName val="4-9"/>
      <sheetName val="4-10"/>
      <sheetName val="4-11"/>
      <sheetName val="4-12"/>
      <sheetName val="4-13"/>
      <sheetName val="4-14"/>
      <sheetName val="4-15"/>
      <sheetName val="4-16"/>
      <sheetName val="4-17"/>
      <sheetName val="4-18"/>
      <sheetName val="4-19"/>
      <sheetName val="4-20"/>
      <sheetName val="4-21"/>
      <sheetName val="4-22"/>
      <sheetName val="4-23"/>
      <sheetName val="4-24"/>
      <sheetName val="4-25"/>
      <sheetName val="4-26"/>
      <sheetName val="4-27"/>
      <sheetName val="4-28"/>
      <sheetName val="4-29"/>
      <sheetName val="4-30"/>
      <sheetName val="4-31"/>
      <sheetName val="4-32"/>
      <sheetName val="4-33"/>
      <sheetName val="4-34"/>
      <sheetName val="4-35"/>
      <sheetName val="4-36"/>
      <sheetName val="4-37"/>
      <sheetName val="4-38"/>
      <sheetName val="4-39"/>
      <sheetName val="4-40"/>
      <sheetName val="4-41"/>
      <sheetName val="4-42"/>
      <sheetName val="4-43"/>
      <sheetName val="4-44"/>
      <sheetName val="4-45"/>
      <sheetName val="4-46"/>
      <sheetName val="4-47"/>
      <sheetName val="4-48"/>
      <sheetName val="4-49"/>
      <sheetName val="4-50"/>
      <sheetName val="4-51"/>
      <sheetName val="4-52"/>
      <sheetName val="4-53"/>
      <sheetName val="4-54"/>
      <sheetName val="4-55"/>
      <sheetName val="4-56"/>
      <sheetName val="4-57"/>
      <sheetName val="4-58"/>
      <sheetName val="4-59"/>
      <sheetName val="4-60"/>
      <sheetName val="4-61"/>
      <sheetName val="4-62"/>
      <sheetName val="4-63"/>
      <sheetName val="4-64"/>
      <sheetName val="4-65"/>
      <sheetName val="4-66"/>
      <sheetName val="4-67"/>
      <sheetName val="4-68"/>
      <sheetName val="4-69"/>
      <sheetName val="4-70"/>
      <sheetName val="4-71"/>
      <sheetName val="4-72"/>
      <sheetName val="مؤشرات أداء الصحة"/>
      <sheetName val="fig1"/>
      <sheetName val="fig2"/>
      <sheetName val="fig3"/>
      <sheetName val="fig4"/>
      <sheetName val="fig5"/>
      <sheetName val="fig6"/>
      <sheetName val="fig7"/>
      <sheetName val="فهرس الباب الخامس"/>
      <sheetName val="5-1"/>
      <sheetName val="5-2"/>
      <sheetName val="5-3"/>
      <sheetName val="5-4"/>
      <sheetName val="5-5"/>
      <sheetName val="5-6"/>
      <sheetName val="5-7"/>
      <sheetName val="5-8"/>
      <sheetName val="5-9"/>
      <sheetName val="5-10"/>
      <sheetName val="5-11"/>
      <sheetName val="5-12"/>
      <sheetName val="5-13"/>
      <sheetName val="5-14"/>
      <sheetName val="5-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7">
          <cell r="B7">
            <v>14980</v>
          </cell>
          <cell r="C7">
            <v>11063</v>
          </cell>
          <cell r="D7">
            <v>0</v>
          </cell>
          <cell r="F7">
            <v>13197</v>
          </cell>
          <cell r="G7">
            <v>12838</v>
          </cell>
          <cell r="H7">
            <v>8</v>
          </cell>
          <cell r="I7">
            <v>20198</v>
          </cell>
          <cell r="J7">
            <v>5845</v>
          </cell>
        </row>
        <row r="8">
          <cell r="B8">
            <v>6730</v>
          </cell>
          <cell r="C8">
            <v>4973</v>
          </cell>
          <cell r="D8">
            <v>0</v>
          </cell>
          <cell r="F8">
            <v>6002</v>
          </cell>
          <cell r="G8">
            <v>5700</v>
          </cell>
          <cell r="H8">
            <v>1</v>
          </cell>
          <cell r="I8">
            <v>9153</v>
          </cell>
          <cell r="J8">
            <v>2550</v>
          </cell>
        </row>
        <row r="9">
          <cell r="B9">
            <v>5031</v>
          </cell>
          <cell r="C9">
            <v>4227</v>
          </cell>
          <cell r="D9">
            <v>0</v>
          </cell>
          <cell r="F9">
            <v>4722</v>
          </cell>
          <cell r="G9">
            <v>4534</v>
          </cell>
          <cell r="H9">
            <v>2</v>
          </cell>
          <cell r="I9">
            <v>7883</v>
          </cell>
          <cell r="J9">
            <v>1375</v>
          </cell>
        </row>
        <row r="10">
          <cell r="B10">
            <v>6708</v>
          </cell>
          <cell r="C10">
            <v>3747</v>
          </cell>
          <cell r="D10">
            <v>0</v>
          </cell>
          <cell r="F10">
            <v>5330</v>
          </cell>
          <cell r="G10">
            <v>5121</v>
          </cell>
          <cell r="H10">
            <v>4</v>
          </cell>
          <cell r="I10">
            <v>8434</v>
          </cell>
          <cell r="J10">
            <v>2021</v>
          </cell>
        </row>
        <row r="11">
          <cell r="B11">
            <v>11829</v>
          </cell>
          <cell r="C11">
            <v>7880</v>
          </cell>
          <cell r="D11">
            <v>1</v>
          </cell>
          <cell r="F11">
            <v>10107</v>
          </cell>
          <cell r="G11">
            <v>9601</v>
          </cell>
          <cell r="H11">
            <v>2</v>
          </cell>
          <cell r="I11">
            <v>16919</v>
          </cell>
          <cell r="J11">
            <v>2791</v>
          </cell>
        </row>
        <row r="12">
          <cell r="B12">
            <v>9877</v>
          </cell>
          <cell r="C12">
            <v>7299</v>
          </cell>
          <cell r="D12">
            <v>0</v>
          </cell>
          <cell r="F12">
            <v>8834</v>
          </cell>
          <cell r="G12">
            <v>8337</v>
          </cell>
          <cell r="H12">
            <v>5</v>
          </cell>
          <cell r="I12">
            <v>14823</v>
          </cell>
          <cell r="J12">
            <v>2353</v>
          </cell>
        </row>
        <row r="13">
          <cell r="B13">
            <v>7487</v>
          </cell>
          <cell r="C13">
            <v>2689</v>
          </cell>
          <cell r="D13">
            <v>0</v>
          </cell>
          <cell r="F13">
            <v>5157</v>
          </cell>
          <cell r="G13">
            <v>5013</v>
          </cell>
          <cell r="H13">
            <v>6</v>
          </cell>
          <cell r="I13">
            <v>7172</v>
          </cell>
          <cell r="J13">
            <v>3004</v>
          </cell>
        </row>
        <row r="14">
          <cell r="B14">
            <v>7172</v>
          </cell>
          <cell r="C14">
            <v>3142</v>
          </cell>
          <cell r="D14">
            <v>0</v>
          </cell>
          <cell r="F14">
            <v>5312</v>
          </cell>
          <cell r="G14">
            <v>5000</v>
          </cell>
          <cell r="H14">
            <v>2</v>
          </cell>
          <cell r="I14">
            <v>8845</v>
          </cell>
          <cell r="J14">
            <v>1469</v>
          </cell>
        </row>
        <row r="15">
          <cell r="B15">
            <v>3970</v>
          </cell>
          <cell r="C15">
            <v>2788</v>
          </cell>
          <cell r="D15">
            <v>0</v>
          </cell>
          <cell r="F15">
            <v>3486</v>
          </cell>
          <cell r="G15">
            <v>3269</v>
          </cell>
          <cell r="H15">
            <v>3</v>
          </cell>
          <cell r="I15">
            <v>5342</v>
          </cell>
          <cell r="J15">
            <v>1416</v>
          </cell>
        </row>
        <row r="16">
          <cell r="B16">
            <v>10224</v>
          </cell>
          <cell r="C16">
            <v>6989</v>
          </cell>
          <cell r="D16">
            <v>0</v>
          </cell>
          <cell r="F16">
            <v>8665</v>
          </cell>
          <cell r="G16">
            <v>8544</v>
          </cell>
          <cell r="H16">
            <v>4</v>
          </cell>
          <cell r="I16">
            <v>15022</v>
          </cell>
          <cell r="J16">
            <v>2191</v>
          </cell>
        </row>
        <row r="17">
          <cell r="B17">
            <v>3108</v>
          </cell>
          <cell r="C17">
            <v>2263</v>
          </cell>
          <cell r="D17">
            <v>0</v>
          </cell>
          <cell r="F17">
            <v>2760</v>
          </cell>
          <cell r="G17">
            <v>2610</v>
          </cell>
          <cell r="H17">
            <v>1</v>
          </cell>
          <cell r="I17">
            <v>4717</v>
          </cell>
          <cell r="J17">
            <v>654</v>
          </cell>
        </row>
        <row r="18">
          <cell r="B18">
            <v>4925</v>
          </cell>
          <cell r="C18">
            <v>4702</v>
          </cell>
          <cell r="D18">
            <v>0</v>
          </cell>
          <cell r="F18">
            <v>4875</v>
          </cell>
          <cell r="G18">
            <v>4749</v>
          </cell>
          <cell r="H18">
            <v>3</v>
          </cell>
          <cell r="I18">
            <v>7330</v>
          </cell>
          <cell r="J18">
            <v>2297</v>
          </cell>
        </row>
        <row r="19">
          <cell r="B19">
            <v>4977</v>
          </cell>
          <cell r="C19">
            <v>3825</v>
          </cell>
          <cell r="D19">
            <v>1</v>
          </cell>
          <cell r="F19">
            <v>4541</v>
          </cell>
          <cell r="G19">
            <v>4258</v>
          </cell>
          <cell r="H19">
            <v>4</v>
          </cell>
          <cell r="I19">
            <v>7741</v>
          </cell>
          <cell r="J19">
            <v>1062</v>
          </cell>
        </row>
        <row r="20">
          <cell r="B20">
            <v>4404</v>
          </cell>
          <cell r="C20">
            <v>3134</v>
          </cell>
          <cell r="D20">
            <v>0</v>
          </cell>
          <cell r="F20">
            <v>3824</v>
          </cell>
          <cell r="G20">
            <v>3712</v>
          </cell>
          <cell r="H20">
            <v>2</v>
          </cell>
          <cell r="I20">
            <v>6609</v>
          </cell>
          <cell r="J20">
            <v>929</v>
          </cell>
        </row>
        <row r="21">
          <cell r="B21">
            <v>12113</v>
          </cell>
          <cell r="C21">
            <v>6787</v>
          </cell>
          <cell r="D21">
            <v>0</v>
          </cell>
          <cell r="F21">
            <v>9663</v>
          </cell>
          <cell r="G21">
            <v>9231</v>
          </cell>
          <cell r="H21">
            <v>6</v>
          </cell>
          <cell r="I21">
            <v>14585</v>
          </cell>
          <cell r="J21">
            <v>4315</v>
          </cell>
        </row>
        <row r="22">
          <cell r="B22">
            <v>6760</v>
          </cell>
          <cell r="C22">
            <v>3537</v>
          </cell>
          <cell r="D22">
            <v>0</v>
          </cell>
          <cell r="F22">
            <v>5232</v>
          </cell>
          <cell r="G22">
            <v>5064</v>
          </cell>
          <cell r="H22">
            <v>1</v>
          </cell>
          <cell r="I22">
            <v>7507</v>
          </cell>
          <cell r="J22">
            <v>2790</v>
          </cell>
        </row>
        <row r="23">
          <cell r="B23">
            <v>3116</v>
          </cell>
          <cell r="C23">
            <v>2287</v>
          </cell>
          <cell r="D23">
            <v>1</v>
          </cell>
          <cell r="F23">
            <v>2779</v>
          </cell>
          <cell r="G23">
            <v>2624</v>
          </cell>
          <cell r="H23">
            <v>1</v>
          </cell>
          <cell r="I23">
            <v>4670</v>
          </cell>
          <cell r="J23">
            <v>734</v>
          </cell>
        </row>
        <row r="24">
          <cell r="B24">
            <v>5971</v>
          </cell>
          <cell r="C24">
            <v>2861</v>
          </cell>
          <cell r="D24">
            <v>0</v>
          </cell>
          <cell r="F24">
            <v>4559</v>
          </cell>
          <cell r="G24">
            <v>4271</v>
          </cell>
          <cell r="H24">
            <v>2</v>
          </cell>
          <cell r="I24">
            <v>7920</v>
          </cell>
          <cell r="J24">
            <v>912</v>
          </cell>
        </row>
        <row r="25">
          <cell r="B25">
            <v>4120</v>
          </cell>
          <cell r="C25">
            <v>1846</v>
          </cell>
          <cell r="D25">
            <v>0</v>
          </cell>
          <cell r="F25">
            <v>3102</v>
          </cell>
          <cell r="G25">
            <v>2863</v>
          </cell>
          <cell r="H25">
            <v>1</v>
          </cell>
          <cell r="I25">
            <v>5476</v>
          </cell>
          <cell r="J25">
            <v>490</v>
          </cell>
        </row>
        <row r="26">
          <cell r="B26">
            <v>2130</v>
          </cell>
          <cell r="C26">
            <v>1162</v>
          </cell>
          <cell r="D26">
            <v>0</v>
          </cell>
          <cell r="F26">
            <v>1646</v>
          </cell>
          <cell r="G26">
            <v>1644</v>
          </cell>
          <cell r="H26">
            <v>2</v>
          </cell>
          <cell r="I26">
            <v>2885</v>
          </cell>
          <cell r="J26">
            <v>407</v>
          </cell>
        </row>
      </sheetData>
      <sheetData sheetId="134">
        <row r="7">
          <cell r="B7">
            <v>17959</v>
          </cell>
          <cell r="C7">
            <v>12569</v>
          </cell>
          <cell r="D7">
            <v>1</v>
          </cell>
          <cell r="F7">
            <v>15609</v>
          </cell>
          <cell r="G7">
            <v>14920</v>
          </cell>
          <cell r="H7">
            <v>0</v>
          </cell>
          <cell r="I7">
            <v>29742</v>
          </cell>
          <cell r="J7">
            <v>787</v>
          </cell>
        </row>
        <row r="8">
          <cell r="B8">
            <v>1571</v>
          </cell>
          <cell r="C8">
            <v>764</v>
          </cell>
          <cell r="D8">
            <v>0</v>
          </cell>
          <cell r="F8">
            <v>1195</v>
          </cell>
          <cell r="G8">
            <v>1135</v>
          </cell>
          <cell r="H8">
            <v>5</v>
          </cell>
          <cell r="I8">
            <v>2303</v>
          </cell>
          <cell r="J8">
            <v>32</v>
          </cell>
        </row>
        <row r="9">
          <cell r="B9">
            <v>6249</v>
          </cell>
          <cell r="C9">
            <v>4017</v>
          </cell>
          <cell r="D9">
            <v>0</v>
          </cell>
          <cell r="F9">
            <v>5190</v>
          </cell>
          <cell r="G9">
            <v>5075</v>
          </cell>
          <cell r="H9">
            <v>1</v>
          </cell>
          <cell r="I9">
            <v>9913</v>
          </cell>
          <cell r="J9">
            <v>353</v>
          </cell>
        </row>
        <row r="10">
          <cell r="B10">
            <v>2972</v>
          </cell>
          <cell r="C10">
            <v>2150</v>
          </cell>
          <cell r="D10">
            <v>0</v>
          </cell>
          <cell r="F10">
            <v>2617</v>
          </cell>
          <cell r="G10">
            <v>2505</v>
          </cell>
          <cell r="H10">
            <v>0</v>
          </cell>
          <cell r="I10">
            <v>5021</v>
          </cell>
          <cell r="J10">
            <v>101</v>
          </cell>
        </row>
        <row r="11">
          <cell r="B11">
            <v>3545</v>
          </cell>
          <cell r="C11">
            <v>2806</v>
          </cell>
          <cell r="D11">
            <v>0</v>
          </cell>
          <cell r="F11">
            <v>3281</v>
          </cell>
          <cell r="G11">
            <v>3070</v>
          </cell>
          <cell r="H11">
            <v>0</v>
          </cell>
          <cell r="I11">
            <v>6030</v>
          </cell>
          <cell r="J11">
            <v>321</v>
          </cell>
        </row>
        <row r="12">
          <cell r="B12">
            <v>3</v>
          </cell>
          <cell r="C12">
            <v>136</v>
          </cell>
          <cell r="D12">
            <v>0</v>
          </cell>
          <cell r="F12">
            <v>68</v>
          </cell>
          <cell r="G12">
            <v>71</v>
          </cell>
          <cell r="H12">
            <v>0</v>
          </cell>
          <cell r="I12">
            <v>31</v>
          </cell>
          <cell r="J12">
            <v>108</v>
          </cell>
        </row>
        <row r="13">
          <cell r="B13">
            <v>5956</v>
          </cell>
          <cell r="C13">
            <v>3279</v>
          </cell>
          <cell r="D13">
            <v>0</v>
          </cell>
          <cell r="F13">
            <v>4707</v>
          </cell>
          <cell r="G13">
            <v>4525</v>
          </cell>
          <cell r="H13">
            <v>3</v>
          </cell>
          <cell r="I13">
            <v>8814</v>
          </cell>
          <cell r="J13">
            <v>421</v>
          </cell>
        </row>
        <row r="14">
          <cell r="B14">
            <v>1101</v>
          </cell>
          <cell r="C14">
            <v>539</v>
          </cell>
          <cell r="D14">
            <v>0</v>
          </cell>
          <cell r="F14">
            <v>839</v>
          </cell>
          <cell r="G14">
            <v>801</v>
          </cell>
          <cell r="H14">
            <v>0</v>
          </cell>
          <cell r="I14">
            <v>1637</v>
          </cell>
          <cell r="J14">
            <v>3</v>
          </cell>
        </row>
        <row r="15">
          <cell r="B15">
            <v>973</v>
          </cell>
          <cell r="C15">
            <v>481</v>
          </cell>
          <cell r="D15">
            <v>0</v>
          </cell>
          <cell r="F15">
            <v>728</v>
          </cell>
          <cell r="G15">
            <v>726</v>
          </cell>
          <cell r="H15">
            <v>0</v>
          </cell>
          <cell r="I15">
            <v>1433</v>
          </cell>
          <cell r="J15">
            <v>21</v>
          </cell>
        </row>
        <row r="16">
          <cell r="B16">
            <v>2324</v>
          </cell>
          <cell r="C16">
            <v>2731</v>
          </cell>
          <cell r="D16">
            <v>0</v>
          </cell>
          <cell r="F16">
            <v>2582</v>
          </cell>
          <cell r="G16">
            <v>2473</v>
          </cell>
          <cell r="H16">
            <v>0</v>
          </cell>
          <cell r="I16">
            <v>4994</v>
          </cell>
          <cell r="J16">
            <v>61</v>
          </cell>
        </row>
        <row r="17">
          <cell r="B17">
            <v>0</v>
          </cell>
          <cell r="C17">
            <v>0</v>
          </cell>
          <cell r="D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B18">
            <v>3416</v>
          </cell>
          <cell r="C18">
            <v>2051</v>
          </cell>
          <cell r="D18">
            <v>0</v>
          </cell>
          <cell r="F18">
            <v>2827</v>
          </cell>
          <cell r="G18">
            <v>2639</v>
          </cell>
          <cell r="H18">
            <v>1</v>
          </cell>
          <cell r="I18">
            <v>5432</v>
          </cell>
          <cell r="J18">
            <v>35</v>
          </cell>
        </row>
        <row r="19">
          <cell r="B19">
            <v>0</v>
          </cell>
          <cell r="C19">
            <v>0</v>
          </cell>
          <cell r="D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B22">
            <v>850</v>
          </cell>
          <cell r="C22">
            <v>557</v>
          </cell>
          <cell r="D22">
            <v>0</v>
          </cell>
          <cell r="F22">
            <v>726</v>
          </cell>
          <cell r="G22">
            <v>681</v>
          </cell>
          <cell r="H22">
            <v>0</v>
          </cell>
          <cell r="I22">
            <v>1382</v>
          </cell>
          <cell r="J22">
            <v>25</v>
          </cell>
        </row>
        <row r="23">
          <cell r="B23">
            <v>0</v>
          </cell>
          <cell r="C23">
            <v>0</v>
          </cell>
          <cell r="D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</sheetData>
      <sheetData sheetId="135">
        <row r="7">
          <cell r="B7">
            <v>47540</v>
          </cell>
          <cell r="C7">
            <v>33236</v>
          </cell>
          <cell r="D7">
            <v>0</v>
          </cell>
          <cell r="F7">
            <v>41496</v>
          </cell>
          <cell r="G7">
            <v>39275</v>
          </cell>
          <cell r="H7">
            <v>5</v>
          </cell>
          <cell r="I7">
            <v>39408</v>
          </cell>
          <cell r="J7">
            <v>41368</v>
          </cell>
        </row>
        <row r="8">
          <cell r="B8">
            <v>10367</v>
          </cell>
          <cell r="C8">
            <v>5501</v>
          </cell>
          <cell r="D8">
            <v>0</v>
          </cell>
          <cell r="F8">
            <v>8020</v>
          </cell>
          <cell r="G8">
            <v>7848</v>
          </cell>
          <cell r="H8">
            <v>0</v>
          </cell>
          <cell r="I8">
            <v>3499</v>
          </cell>
          <cell r="J8">
            <v>12369</v>
          </cell>
        </row>
        <row r="9">
          <cell r="B9">
            <v>19377</v>
          </cell>
          <cell r="C9">
            <v>20040</v>
          </cell>
          <cell r="D9">
            <v>0</v>
          </cell>
          <cell r="F9">
            <v>20272</v>
          </cell>
          <cell r="G9">
            <v>19144</v>
          </cell>
          <cell r="H9">
            <v>1</v>
          </cell>
          <cell r="I9">
            <v>20094</v>
          </cell>
          <cell r="J9">
            <v>19323</v>
          </cell>
        </row>
        <row r="10">
          <cell r="B10">
            <v>1640</v>
          </cell>
          <cell r="C10">
            <v>1352</v>
          </cell>
          <cell r="D10">
            <v>0</v>
          </cell>
          <cell r="F10">
            <v>1504</v>
          </cell>
          <cell r="G10">
            <v>1488</v>
          </cell>
          <cell r="H10">
            <v>0</v>
          </cell>
          <cell r="I10">
            <v>1877</v>
          </cell>
          <cell r="J10">
            <v>1115</v>
          </cell>
        </row>
        <row r="11">
          <cell r="B11">
            <v>6698</v>
          </cell>
          <cell r="C11">
            <v>5600</v>
          </cell>
          <cell r="D11">
            <v>0</v>
          </cell>
          <cell r="F11">
            <v>6335</v>
          </cell>
          <cell r="G11">
            <v>5961</v>
          </cell>
          <cell r="H11">
            <v>2</v>
          </cell>
          <cell r="I11">
            <v>6292</v>
          </cell>
          <cell r="J11">
            <v>6006</v>
          </cell>
        </row>
        <row r="12">
          <cell r="B12">
            <v>4688</v>
          </cell>
          <cell r="C12">
            <v>2880</v>
          </cell>
          <cell r="D12">
            <v>0</v>
          </cell>
          <cell r="F12">
            <v>3875</v>
          </cell>
          <cell r="G12">
            <v>3692</v>
          </cell>
          <cell r="H12">
            <v>1</v>
          </cell>
          <cell r="I12">
            <v>6433</v>
          </cell>
          <cell r="J12">
            <v>1135</v>
          </cell>
        </row>
        <row r="13">
          <cell r="B13">
            <v>15353</v>
          </cell>
          <cell r="C13">
            <v>10823</v>
          </cell>
          <cell r="D13">
            <v>1</v>
          </cell>
          <cell r="F13">
            <v>13567</v>
          </cell>
          <cell r="G13">
            <v>12608</v>
          </cell>
          <cell r="H13">
            <v>2</v>
          </cell>
          <cell r="I13">
            <v>16969</v>
          </cell>
          <cell r="J13">
            <v>9208</v>
          </cell>
        </row>
        <row r="14">
          <cell r="B14">
            <v>4625</v>
          </cell>
          <cell r="C14">
            <v>2613</v>
          </cell>
          <cell r="D14">
            <v>0</v>
          </cell>
          <cell r="F14">
            <v>3713</v>
          </cell>
          <cell r="G14">
            <v>3525</v>
          </cell>
          <cell r="H14">
            <v>0</v>
          </cell>
          <cell r="I14">
            <v>6465</v>
          </cell>
          <cell r="J14">
            <v>773</v>
          </cell>
        </row>
        <row r="15">
          <cell r="B15">
            <v>1074</v>
          </cell>
          <cell r="C15">
            <v>520</v>
          </cell>
          <cell r="D15">
            <v>0</v>
          </cell>
          <cell r="F15">
            <v>824</v>
          </cell>
          <cell r="G15">
            <v>770</v>
          </cell>
          <cell r="H15">
            <v>0</v>
          </cell>
          <cell r="I15">
            <v>1147</v>
          </cell>
          <cell r="J15">
            <v>447</v>
          </cell>
        </row>
        <row r="16">
          <cell r="B16">
            <v>4515</v>
          </cell>
          <cell r="C16">
            <v>3715</v>
          </cell>
          <cell r="D16">
            <v>0</v>
          </cell>
          <cell r="F16">
            <v>4237</v>
          </cell>
          <cell r="G16">
            <v>3992</v>
          </cell>
          <cell r="H16">
            <v>1</v>
          </cell>
          <cell r="I16">
            <v>5426</v>
          </cell>
          <cell r="J16">
            <v>2804</v>
          </cell>
        </row>
        <row r="17">
          <cell r="B17">
            <v>0</v>
          </cell>
          <cell r="C17">
            <v>0</v>
          </cell>
          <cell r="D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B18">
            <v>590</v>
          </cell>
          <cell r="C18">
            <v>459</v>
          </cell>
          <cell r="D18">
            <v>0</v>
          </cell>
          <cell r="F18">
            <v>533</v>
          </cell>
          <cell r="G18">
            <v>516</v>
          </cell>
          <cell r="H18">
            <v>0</v>
          </cell>
          <cell r="I18">
            <v>745</v>
          </cell>
          <cell r="J18">
            <v>304</v>
          </cell>
        </row>
        <row r="19">
          <cell r="B19">
            <v>1746</v>
          </cell>
          <cell r="C19">
            <v>1622</v>
          </cell>
          <cell r="D19">
            <v>0</v>
          </cell>
          <cell r="F19">
            <v>1723</v>
          </cell>
          <cell r="G19">
            <v>1645</v>
          </cell>
          <cell r="H19">
            <v>0</v>
          </cell>
          <cell r="I19">
            <v>2870</v>
          </cell>
          <cell r="J19">
            <v>498</v>
          </cell>
        </row>
        <row r="20">
          <cell r="B20">
            <v>0</v>
          </cell>
          <cell r="C20">
            <v>0</v>
          </cell>
          <cell r="D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B21">
            <v>1717</v>
          </cell>
          <cell r="C21">
            <v>1484</v>
          </cell>
          <cell r="D21">
            <v>0</v>
          </cell>
          <cell r="F21">
            <v>1619</v>
          </cell>
          <cell r="G21">
            <v>1582</v>
          </cell>
          <cell r="H21">
            <v>0</v>
          </cell>
          <cell r="I21">
            <v>2658</v>
          </cell>
          <cell r="J21">
            <v>543</v>
          </cell>
        </row>
        <row r="22">
          <cell r="B22">
            <v>1749</v>
          </cell>
          <cell r="C22">
            <v>742</v>
          </cell>
          <cell r="D22">
            <v>0</v>
          </cell>
          <cell r="F22">
            <v>1323</v>
          </cell>
          <cell r="G22">
            <v>1168</v>
          </cell>
          <cell r="H22">
            <v>0</v>
          </cell>
          <cell r="I22">
            <v>1991</v>
          </cell>
          <cell r="J22">
            <v>500</v>
          </cell>
        </row>
        <row r="23">
          <cell r="B23">
            <v>0</v>
          </cell>
          <cell r="C23">
            <v>0</v>
          </cell>
          <cell r="D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B24">
            <v>516</v>
          </cell>
          <cell r="C24">
            <v>294</v>
          </cell>
          <cell r="D24">
            <v>0</v>
          </cell>
          <cell r="F24">
            <v>404</v>
          </cell>
          <cell r="G24">
            <v>406</v>
          </cell>
          <cell r="H24">
            <v>0</v>
          </cell>
          <cell r="I24">
            <v>740</v>
          </cell>
          <cell r="J24">
            <v>70</v>
          </cell>
        </row>
        <row r="25">
          <cell r="B25">
            <v>0</v>
          </cell>
          <cell r="C25">
            <v>0</v>
          </cell>
          <cell r="D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B26">
            <v>50</v>
          </cell>
          <cell r="C26">
            <v>5</v>
          </cell>
          <cell r="D26">
            <v>0</v>
          </cell>
          <cell r="F26">
            <v>29</v>
          </cell>
          <cell r="G26">
            <v>26</v>
          </cell>
          <cell r="H26">
            <v>0</v>
          </cell>
          <cell r="I26">
            <v>26</v>
          </cell>
          <cell r="J26">
            <v>29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B6FA8-C93C-4180-AC51-F2B1F465FBD7}">
  <dimension ref="A1:J24"/>
  <sheetViews>
    <sheetView tabSelected="1" workbookViewId="0">
      <selection activeCell="G4" sqref="G4"/>
    </sheetView>
  </sheetViews>
  <sheetFormatPr defaultRowHeight="14.5"/>
  <cols>
    <col min="1" max="2" width="7.90625" bestFit="1" customWidth="1"/>
    <col min="3" max="3" width="8.453125" bestFit="1" customWidth="1"/>
    <col min="4" max="4" width="8.81640625" bestFit="1" customWidth="1"/>
    <col min="5" max="6" width="7.90625" bestFit="1" customWidth="1"/>
    <col min="7" max="7" width="8.453125" bestFit="1" customWidth="1"/>
    <col min="8" max="8" width="7.90625" bestFit="1" customWidth="1"/>
    <col min="9" max="9" width="8.54296875" bestFit="1" customWidth="1"/>
    <col min="10" max="10" width="30.36328125" bestFit="1" customWidth="1"/>
  </cols>
  <sheetData>
    <row r="1" spans="1:10" ht="29" customHeight="1">
      <c r="A1" s="12" t="s">
        <v>0</v>
      </c>
      <c r="B1" s="12" t="s">
        <v>0</v>
      </c>
      <c r="C1" s="12" t="s">
        <v>0</v>
      </c>
      <c r="D1" s="12" t="s">
        <v>0</v>
      </c>
      <c r="E1" s="1" t="s">
        <v>1</v>
      </c>
      <c r="F1" s="1" t="s">
        <v>1</v>
      </c>
      <c r="G1" s="1" t="s">
        <v>1</v>
      </c>
      <c r="H1" s="1" t="s">
        <v>2</v>
      </c>
      <c r="I1" s="1" t="s">
        <v>2</v>
      </c>
      <c r="J1" s="11" t="s">
        <v>3</v>
      </c>
    </row>
    <row r="2" spans="1:10" ht="42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6</v>
      </c>
      <c r="H2" s="2" t="s">
        <v>10</v>
      </c>
      <c r="I2" s="2" t="s">
        <v>11</v>
      </c>
      <c r="J2" s="11" t="s">
        <v>3</v>
      </c>
    </row>
    <row r="3" spans="1:10" ht="15.5">
      <c r="A3" s="3">
        <f>'[1]4-32'!B7+'[1]4-33'!B7+'[1]4-34'!B7</f>
        <v>80479</v>
      </c>
      <c r="B3" s="3">
        <f>'[1]4-32'!C7+'[1]4-33'!C7+'[1]4-34'!C7</f>
        <v>56868</v>
      </c>
      <c r="C3" s="3">
        <f>'[1]4-32'!D7+'[1]4-33'!D7+'[1]4-34'!D7</f>
        <v>1</v>
      </c>
      <c r="D3" s="3">
        <f>SUM(A3:C3)</f>
        <v>137348</v>
      </c>
      <c r="E3" s="3">
        <f>'[1]4-32'!F7+'[1]4-33'!F7+'[1]4-34'!F7</f>
        <v>70302</v>
      </c>
      <c r="F3" s="3">
        <f>'[1]4-32'!G7+'[1]4-33'!G7+'[1]4-34'!G7</f>
        <v>67033</v>
      </c>
      <c r="G3" s="3">
        <f>'[1]4-32'!H7+'[1]4-33'!H7+'[1]4-34'!H7</f>
        <v>13</v>
      </c>
      <c r="H3" s="3">
        <f>'[1]4-32'!I7+'[1]4-33'!I7+'[1]4-34'!I7</f>
        <v>89348</v>
      </c>
      <c r="I3" s="3">
        <f>'[1]4-32'!J7+'[1]4-33'!J7+'[1]4-34'!J7</f>
        <v>48000</v>
      </c>
      <c r="J3" s="4" t="s">
        <v>12</v>
      </c>
    </row>
    <row r="4" spans="1:10" ht="46.5">
      <c r="A4" s="3">
        <f>'[1]4-32'!B8+'[1]4-33'!B8+'[1]4-34'!B8</f>
        <v>18668</v>
      </c>
      <c r="B4" s="3">
        <f>'[1]4-32'!C8+'[1]4-33'!C8+'[1]4-34'!C8</f>
        <v>11238</v>
      </c>
      <c r="C4" s="3">
        <f>'[1]4-32'!D8+'[1]4-33'!D8+'[1]4-34'!D8</f>
        <v>0</v>
      </c>
      <c r="D4" s="3">
        <f t="shared" ref="D4:D22" si="0">SUM(A4:C4)</f>
        <v>29906</v>
      </c>
      <c r="E4" s="3">
        <f>'[1]4-32'!F8+'[1]4-33'!F8+'[1]4-34'!F8</f>
        <v>15217</v>
      </c>
      <c r="F4" s="3">
        <f>'[1]4-32'!G8+'[1]4-33'!G8+'[1]4-34'!G8</f>
        <v>14683</v>
      </c>
      <c r="G4" s="3">
        <f>'[1]4-32'!H8+'[1]4-33'!H8+'[1]4-34'!H8</f>
        <v>6</v>
      </c>
      <c r="H4" s="3">
        <f>'[1]4-32'!I8+'[1]4-33'!I8+'[1]4-34'!I8</f>
        <v>14955</v>
      </c>
      <c r="I4" s="3">
        <f>'[1]4-32'!J8+'[1]4-33'!J8+'[1]4-34'!J8</f>
        <v>14951</v>
      </c>
      <c r="J4" s="4" t="s">
        <v>13</v>
      </c>
    </row>
    <row r="5" spans="1:10" ht="15.5">
      <c r="A5" s="3">
        <f>'[1]4-32'!B9+'[1]4-33'!B9+'[1]4-34'!B9</f>
        <v>30657</v>
      </c>
      <c r="B5" s="3">
        <f>'[1]4-32'!C9+'[1]4-33'!C9+'[1]4-34'!C9</f>
        <v>28284</v>
      </c>
      <c r="C5" s="3">
        <f>'[1]4-32'!D9+'[1]4-33'!D9+'[1]4-34'!D9</f>
        <v>0</v>
      </c>
      <c r="D5" s="3">
        <f t="shared" si="0"/>
        <v>58941</v>
      </c>
      <c r="E5" s="3">
        <f>'[1]4-32'!F9+'[1]4-33'!F9+'[1]4-34'!F9</f>
        <v>30184</v>
      </c>
      <c r="F5" s="3">
        <f>'[1]4-32'!G9+'[1]4-33'!G9+'[1]4-34'!G9</f>
        <v>28753</v>
      </c>
      <c r="G5" s="3">
        <f>'[1]4-32'!H9+'[1]4-33'!H9+'[1]4-34'!H9</f>
        <v>4</v>
      </c>
      <c r="H5" s="3">
        <f>'[1]4-32'!I9+'[1]4-33'!I9+'[1]4-34'!I9</f>
        <v>37890</v>
      </c>
      <c r="I5" s="3">
        <f>'[1]4-32'!J9+'[1]4-33'!J9+'[1]4-34'!J9</f>
        <v>21051</v>
      </c>
      <c r="J5" s="4" t="s">
        <v>14</v>
      </c>
    </row>
    <row r="6" spans="1:10" ht="15.5">
      <c r="A6" s="3">
        <f>'[1]4-32'!B10+'[1]4-33'!B10+'[1]4-34'!B10</f>
        <v>11320</v>
      </c>
      <c r="B6" s="3">
        <f>'[1]4-32'!C10+'[1]4-33'!C10+'[1]4-34'!C10</f>
        <v>7249</v>
      </c>
      <c r="C6" s="3">
        <f>'[1]4-32'!D10+'[1]4-33'!D10+'[1]4-34'!D10</f>
        <v>0</v>
      </c>
      <c r="D6" s="3">
        <f t="shared" si="0"/>
        <v>18569</v>
      </c>
      <c r="E6" s="3">
        <f>'[1]4-32'!F10+'[1]4-33'!F10+'[1]4-34'!F10</f>
        <v>9451</v>
      </c>
      <c r="F6" s="3">
        <f>'[1]4-32'!G10+'[1]4-33'!G10+'[1]4-34'!G10</f>
        <v>9114</v>
      </c>
      <c r="G6" s="3">
        <f>'[1]4-32'!H10+'[1]4-33'!H10+'[1]4-34'!H10</f>
        <v>4</v>
      </c>
      <c r="H6" s="3">
        <f>'[1]4-32'!I10+'[1]4-33'!I10+'[1]4-34'!I10</f>
        <v>15332</v>
      </c>
      <c r="I6" s="3">
        <f>'[1]4-32'!J10+'[1]4-33'!J10+'[1]4-34'!J10</f>
        <v>3237</v>
      </c>
      <c r="J6" s="4" t="s">
        <v>15</v>
      </c>
    </row>
    <row r="7" spans="1:10" ht="31">
      <c r="A7" s="3">
        <f>'[1]4-32'!B11+'[1]4-33'!B11+'[1]4-34'!B11</f>
        <v>22072</v>
      </c>
      <c r="B7" s="3">
        <f>'[1]4-32'!C11+'[1]4-33'!C11+'[1]4-34'!C11</f>
        <v>16286</v>
      </c>
      <c r="C7" s="3">
        <f>'[1]4-32'!D11+'[1]4-33'!D11+'[1]4-34'!D11</f>
        <v>1</v>
      </c>
      <c r="D7" s="3">
        <f t="shared" si="0"/>
        <v>38359</v>
      </c>
      <c r="E7" s="3">
        <f>'[1]4-32'!F11+'[1]4-33'!F11+'[1]4-34'!F11</f>
        <v>19723</v>
      </c>
      <c r="F7" s="3">
        <f>'[1]4-32'!G11+'[1]4-33'!G11+'[1]4-34'!G11</f>
        <v>18632</v>
      </c>
      <c r="G7" s="3">
        <f>'[1]4-32'!H11+'[1]4-33'!H11+'[1]4-34'!H11</f>
        <v>4</v>
      </c>
      <c r="H7" s="3">
        <f>'[1]4-32'!I11+'[1]4-33'!I11+'[1]4-34'!I11</f>
        <v>29241</v>
      </c>
      <c r="I7" s="3">
        <f>'[1]4-32'!J11+'[1]4-33'!J11+'[1]4-34'!J11</f>
        <v>9118</v>
      </c>
      <c r="J7" s="4" t="s">
        <v>16</v>
      </c>
    </row>
    <row r="8" spans="1:10" ht="15.5">
      <c r="A8" s="3">
        <f>'[1]4-32'!B12+'[1]4-33'!B12+'[1]4-34'!B12</f>
        <v>14568</v>
      </c>
      <c r="B8" s="3">
        <f>'[1]4-32'!C12+'[1]4-33'!C12+'[1]4-34'!C12</f>
        <v>10315</v>
      </c>
      <c r="C8" s="3">
        <f>'[1]4-32'!D12+'[1]4-33'!D12+'[1]4-34'!D12</f>
        <v>0</v>
      </c>
      <c r="D8" s="3">
        <f t="shared" si="0"/>
        <v>24883</v>
      </c>
      <c r="E8" s="3">
        <f>'[1]4-32'!F12+'[1]4-33'!F12+'[1]4-34'!F12</f>
        <v>12777</v>
      </c>
      <c r="F8" s="3">
        <f>'[1]4-32'!G12+'[1]4-33'!G12+'[1]4-34'!G12</f>
        <v>12100</v>
      </c>
      <c r="G8" s="3">
        <f>'[1]4-32'!H12+'[1]4-33'!H12+'[1]4-34'!H12</f>
        <v>6</v>
      </c>
      <c r="H8" s="3">
        <f>'[1]4-32'!I12+'[1]4-33'!I12+'[1]4-34'!I12</f>
        <v>21287</v>
      </c>
      <c r="I8" s="3">
        <f>'[1]4-32'!J12+'[1]4-33'!J12+'[1]4-34'!J12</f>
        <v>3596</v>
      </c>
      <c r="J8" s="4" t="s">
        <v>17</v>
      </c>
    </row>
    <row r="9" spans="1:10" ht="15.5">
      <c r="A9" s="3">
        <f>'[1]4-32'!B13+'[1]4-33'!B13+'[1]4-34'!B13</f>
        <v>28796</v>
      </c>
      <c r="B9" s="3">
        <f>'[1]4-32'!C13+'[1]4-33'!C13+'[1]4-34'!C13</f>
        <v>16791</v>
      </c>
      <c r="C9" s="3">
        <f>'[1]4-32'!D13+'[1]4-33'!D13+'[1]4-34'!D13</f>
        <v>1</v>
      </c>
      <c r="D9" s="3">
        <f t="shared" si="0"/>
        <v>45588</v>
      </c>
      <c r="E9" s="3">
        <f>'[1]4-32'!F13+'[1]4-33'!F13+'[1]4-34'!F13</f>
        <v>23431</v>
      </c>
      <c r="F9" s="3">
        <f>'[1]4-32'!G13+'[1]4-33'!G13+'[1]4-34'!G13</f>
        <v>22146</v>
      </c>
      <c r="G9" s="3">
        <f>'[1]4-32'!H13+'[1]4-33'!H13+'[1]4-34'!H13</f>
        <v>11</v>
      </c>
      <c r="H9" s="3">
        <f>'[1]4-32'!I13+'[1]4-33'!I13+'[1]4-34'!I13</f>
        <v>32955</v>
      </c>
      <c r="I9" s="3">
        <f>'[1]4-32'!J13+'[1]4-33'!J13+'[1]4-34'!J13</f>
        <v>12633</v>
      </c>
      <c r="J9" s="4" t="s">
        <v>18</v>
      </c>
    </row>
    <row r="10" spans="1:10" ht="15.5">
      <c r="A10" s="3">
        <f>'[1]4-32'!B14+'[1]4-33'!B14+'[1]4-34'!B14</f>
        <v>12898</v>
      </c>
      <c r="B10" s="3">
        <f>'[1]4-32'!C14+'[1]4-33'!C14+'[1]4-34'!C14</f>
        <v>6294</v>
      </c>
      <c r="C10" s="3">
        <f>'[1]4-32'!D14+'[1]4-33'!D14+'[1]4-34'!D14</f>
        <v>0</v>
      </c>
      <c r="D10" s="3">
        <f t="shared" si="0"/>
        <v>19192</v>
      </c>
      <c r="E10" s="3">
        <f>'[1]4-32'!F14+'[1]4-33'!F14+'[1]4-34'!F14</f>
        <v>9864</v>
      </c>
      <c r="F10" s="3">
        <f>'[1]4-32'!G14+'[1]4-33'!G14+'[1]4-34'!G14</f>
        <v>9326</v>
      </c>
      <c r="G10" s="3">
        <f>'[1]4-32'!H14+'[1]4-33'!H14+'[1]4-34'!H14</f>
        <v>2</v>
      </c>
      <c r="H10" s="3">
        <f>'[1]4-32'!I14+'[1]4-33'!I14+'[1]4-34'!I14</f>
        <v>16947</v>
      </c>
      <c r="I10" s="3">
        <f>'[1]4-32'!J14+'[1]4-33'!J14+'[1]4-34'!J14</f>
        <v>2245</v>
      </c>
      <c r="J10" s="4" t="s">
        <v>19</v>
      </c>
    </row>
    <row r="11" spans="1:10" ht="31">
      <c r="A11" s="3">
        <f>'[1]4-32'!B15+'[1]4-33'!B15+'[1]4-34'!B15</f>
        <v>6017</v>
      </c>
      <c r="B11" s="3">
        <f>'[1]4-32'!C15+'[1]4-33'!C15+'[1]4-34'!C15</f>
        <v>3789</v>
      </c>
      <c r="C11" s="3">
        <f>'[1]4-32'!D15+'[1]4-33'!D15+'[1]4-34'!D15</f>
        <v>0</v>
      </c>
      <c r="D11" s="3">
        <f t="shared" si="0"/>
        <v>9806</v>
      </c>
      <c r="E11" s="3">
        <f>'[1]4-32'!F15+'[1]4-33'!F15+'[1]4-34'!F15</f>
        <v>5038</v>
      </c>
      <c r="F11" s="3">
        <f>'[1]4-32'!G15+'[1]4-33'!G15+'[1]4-34'!G15</f>
        <v>4765</v>
      </c>
      <c r="G11" s="3">
        <f>'[1]4-32'!H15+'[1]4-33'!H15+'[1]4-34'!H15</f>
        <v>3</v>
      </c>
      <c r="H11" s="3">
        <f>'[1]4-32'!I15+'[1]4-33'!I15+'[1]4-34'!I15</f>
        <v>7922</v>
      </c>
      <c r="I11" s="3">
        <f>'[1]4-32'!J15+'[1]4-33'!J15+'[1]4-34'!J15</f>
        <v>1884</v>
      </c>
      <c r="J11" s="4" t="s">
        <v>20</v>
      </c>
    </row>
    <row r="12" spans="1:10" ht="15.5">
      <c r="A12" s="3">
        <f>'[1]4-32'!B16+'[1]4-33'!B16+'[1]4-34'!B16</f>
        <v>17063</v>
      </c>
      <c r="B12" s="3">
        <f>'[1]4-32'!C16+'[1]4-33'!C16+'[1]4-34'!C16</f>
        <v>13435</v>
      </c>
      <c r="C12" s="3">
        <f>'[1]4-32'!D16+'[1]4-33'!D16+'[1]4-34'!D16</f>
        <v>0</v>
      </c>
      <c r="D12" s="3">
        <f t="shared" si="0"/>
        <v>30498</v>
      </c>
      <c r="E12" s="3">
        <f>'[1]4-32'!F16+'[1]4-33'!F16+'[1]4-34'!F16</f>
        <v>15484</v>
      </c>
      <c r="F12" s="3">
        <f>'[1]4-32'!G16+'[1]4-33'!G16+'[1]4-34'!G16</f>
        <v>15009</v>
      </c>
      <c r="G12" s="3">
        <f>'[1]4-32'!H16+'[1]4-33'!H16+'[1]4-34'!H16</f>
        <v>5</v>
      </c>
      <c r="H12" s="3">
        <f>'[1]4-32'!I16+'[1]4-33'!I16+'[1]4-34'!I16</f>
        <v>25442</v>
      </c>
      <c r="I12" s="3">
        <f>'[1]4-32'!J16+'[1]4-33'!J16+'[1]4-34'!J16</f>
        <v>5056</v>
      </c>
      <c r="J12" s="4" t="s">
        <v>21</v>
      </c>
    </row>
    <row r="13" spans="1:10" ht="15.5">
      <c r="A13" s="3">
        <f>'[1]4-32'!B17+'[1]4-33'!B17+'[1]4-34'!B17</f>
        <v>3108</v>
      </c>
      <c r="B13" s="3">
        <f>'[1]4-32'!C17+'[1]4-33'!C17+'[1]4-34'!C17</f>
        <v>2263</v>
      </c>
      <c r="C13" s="3">
        <f>'[1]4-32'!D17+'[1]4-33'!D17+'[1]4-34'!D17</f>
        <v>0</v>
      </c>
      <c r="D13" s="3">
        <f t="shared" si="0"/>
        <v>5371</v>
      </c>
      <c r="E13" s="3">
        <f>'[1]4-32'!F17+'[1]4-33'!F17+'[1]4-34'!F17</f>
        <v>2760</v>
      </c>
      <c r="F13" s="3">
        <f>'[1]4-32'!G17+'[1]4-33'!G17+'[1]4-34'!G17</f>
        <v>2610</v>
      </c>
      <c r="G13" s="3">
        <f>'[1]4-32'!H17+'[1]4-33'!H17+'[1]4-34'!H17</f>
        <v>1</v>
      </c>
      <c r="H13" s="3">
        <f>'[1]4-32'!I17+'[1]4-33'!I17+'[1]4-34'!I17</f>
        <v>4717</v>
      </c>
      <c r="I13" s="3">
        <f>'[1]4-32'!J17+'[1]4-33'!J17+'[1]4-34'!J17</f>
        <v>654</v>
      </c>
      <c r="J13" s="4" t="s">
        <v>22</v>
      </c>
    </row>
    <row r="14" spans="1:10" ht="15.5">
      <c r="A14" s="3">
        <f>'[1]4-32'!B18+'[1]4-33'!B18+'[1]4-34'!B18</f>
        <v>8931</v>
      </c>
      <c r="B14" s="3">
        <f>'[1]4-32'!C18+'[1]4-33'!C18+'[1]4-34'!C18</f>
        <v>7212</v>
      </c>
      <c r="C14" s="3">
        <f>'[1]4-32'!D18+'[1]4-33'!D18+'[1]4-34'!D18</f>
        <v>0</v>
      </c>
      <c r="D14" s="3">
        <f t="shared" si="0"/>
        <v>16143</v>
      </c>
      <c r="E14" s="3">
        <f>'[1]4-32'!F18+'[1]4-33'!F18+'[1]4-34'!F18</f>
        <v>8235</v>
      </c>
      <c r="F14" s="3">
        <f>'[1]4-32'!G18+'[1]4-33'!G18+'[1]4-34'!G18</f>
        <v>7904</v>
      </c>
      <c r="G14" s="3">
        <f>'[1]4-32'!H18+'[1]4-33'!H18+'[1]4-34'!H18</f>
        <v>4</v>
      </c>
      <c r="H14" s="3">
        <f>'[1]4-32'!I18+'[1]4-33'!I18+'[1]4-34'!I18</f>
        <v>13507</v>
      </c>
      <c r="I14" s="3">
        <f>'[1]4-32'!J18+'[1]4-33'!J18+'[1]4-34'!J18</f>
        <v>2636</v>
      </c>
      <c r="J14" s="4" t="s">
        <v>23</v>
      </c>
    </row>
    <row r="15" spans="1:10" ht="15.5">
      <c r="A15" s="3">
        <f>'[1]4-32'!B19+'[1]4-33'!B19+'[1]4-34'!B19</f>
        <v>6723</v>
      </c>
      <c r="B15" s="3">
        <f>'[1]4-32'!C19+'[1]4-33'!C19+'[1]4-34'!C19</f>
        <v>5447</v>
      </c>
      <c r="C15" s="3">
        <f>'[1]4-32'!D19+'[1]4-33'!D19+'[1]4-34'!D19</f>
        <v>1</v>
      </c>
      <c r="D15" s="3">
        <f t="shared" si="0"/>
        <v>12171</v>
      </c>
      <c r="E15" s="3">
        <f>'[1]4-32'!F19+'[1]4-33'!F19+'[1]4-34'!F19</f>
        <v>6264</v>
      </c>
      <c r="F15" s="3">
        <f>'[1]4-32'!G19+'[1]4-33'!G19+'[1]4-34'!G19</f>
        <v>5903</v>
      </c>
      <c r="G15" s="3">
        <f>'[1]4-32'!H19+'[1]4-33'!H19+'[1]4-34'!H19</f>
        <v>4</v>
      </c>
      <c r="H15" s="3">
        <f>'[1]4-32'!I19+'[1]4-33'!I19+'[1]4-34'!I19</f>
        <v>10611</v>
      </c>
      <c r="I15" s="3">
        <f>'[1]4-32'!J19+'[1]4-33'!J19+'[1]4-34'!J19</f>
        <v>1560</v>
      </c>
      <c r="J15" s="4" t="s">
        <v>24</v>
      </c>
    </row>
    <row r="16" spans="1:10" ht="46.5">
      <c r="A16" s="3">
        <f>'[1]4-32'!B20+'[1]4-33'!B20+'[1]4-34'!B20</f>
        <v>4404</v>
      </c>
      <c r="B16" s="3">
        <f>'[1]4-32'!C20+'[1]4-33'!C20+'[1]4-34'!C20</f>
        <v>3134</v>
      </c>
      <c r="C16" s="3">
        <f>'[1]4-32'!D20+'[1]4-33'!D20+'[1]4-34'!D20</f>
        <v>0</v>
      </c>
      <c r="D16" s="3">
        <f t="shared" si="0"/>
        <v>7538</v>
      </c>
      <c r="E16" s="3">
        <f>'[1]4-32'!F20+'[1]4-33'!F20+'[1]4-34'!F20</f>
        <v>3824</v>
      </c>
      <c r="F16" s="3">
        <f>'[1]4-32'!G20+'[1]4-33'!G20+'[1]4-34'!G20</f>
        <v>3712</v>
      </c>
      <c r="G16" s="3">
        <f>'[1]4-32'!H20+'[1]4-33'!H20+'[1]4-34'!H20</f>
        <v>2</v>
      </c>
      <c r="H16" s="3">
        <f>'[1]4-32'!I20+'[1]4-33'!I20+'[1]4-34'!I20</f>
        <v>6609</v>
      </c>
      <c r="I16" s="3">
        <f>'[1]4-32'!J20+'[1]4-33'!J20+'[1]4-34'!J20</f>
        <v>929</v>
      </c>
      <c r="J16" s="4" t="s">
        <v>25</v>
      </c>
    </row>
    <row r="17" spans="1:10" ht="15.5">
      <c r="A17" s="3">
        <f>'[1]4-32'!B21+'[1]4-33'!B21+'[1]4-34'!B21</f>
        <v>13830</v>
      </c>
      <c r="B17" s="3">
        <f>'[1]4-32'!C21+'[1]4-33'!C21+'[1]4-34'!C21</f>
        <v>8271</v>
      </c>
      <c r="C17" s="3">
        <f>'[1]4-32'!D21+'[1]4-33'!D21+'[1]4-34'!D21</f>
        <v>0</v>
      </c>
      <c r="D17" s="3">
        <f t="shared" si="0"/>
        <v>22101</v>
      </c>
      <c r="E17" s="3">
        <f>'[1]4-32'!F21+'[1]4-33'!F21+'[1]4-34'!F21</f>
        <v>11282</v>
      </c>
      <c r="F17" s="3">
        <f>'[1]4-32'!G21+'[1]4-33'!G21+'[1]4-34'!G21</f>
        <v>10813</v>
      </c>
      <c r="G17" s="3">
        <f>'[1]4-32'!H21+'[1]4-33'!H21+'[1]4-34'!H21</f>
        <v>6</v>
      </c>
      <c r="H17" s="3">
        <f>'[1]4-32'!I21+'[1]4-33'!I21+'[1]4-34'!I21</f>
        <v>17243</v>
      </c>
      <c r="I17" s="3">
        <f>'[1]4-32'!J21+'[1]4-33'!J21+'[1]4-34'!J21</f>
        <v>4858</v>
      </c>
      <c r="J17" s="4" t="s">
        <v>26</v>
      </c>
    </row>
    <row r="18" spans="1:10" ht="15.5">
      <c r="A18" s="3">
        <f>'[1]4-32'!B22+'[1]4-33'!B22+'[1]4-34'!B22</f>
        <v>9359</v>
      </c>
      <c r="B18" s="3">
        <f>'[1]4-32'!C22+'[1]4-33'!C22+'[1]4-34'!C22</f>
        <v>4836</v>
      </c>
      <c r="C18" s="3">
        <f>'[1]4-32'!D22+'[1]4-33'!D22+'[1]4-34'!D22</f>
        <v>0</v>
      </c>
      <c r="D18" s="3">
        <f t="shared" si="0"/>
        <v>14195</v>
      </c>
      <c r="E18" s="3">
        <f>'[1]4-32'!F22+'[1]4-33'!F22+'[1]4-34'!F22</f>
        <v>7281</v>
      </c>
      <c r="F18" s="3">
        <f>'[1]4-32'!G22+'[1]4-33'!G22+'[1]4-34'!G22</f>
        <v>6913</v>
      </c>
      <c r="G18" s="3">
        <f>'[1]4-32'!H22+'[1]4-33'!H22+'[1]4-34'!H22</f>
        <v>1</v>
      </c>
      <c r="H18" s="3">
        <f>'[1]4-32'!I22+'[1]4-33'!I22+'[1]4-34'!I22</f>
        <v>10880</v>
      </c>
      <c r="I18" s="3">
        <f>'[1]4-32'!J22+'[1]4-33'!J22+'[1]4-34'!J22</f>
        <v>3315</v>
      </c>
      <c r="J18" s="4" t="s">
        <v>27</v>
      </c>
    </row>
    <row r="19" spans="1:10" ht="15.5">
      <c r="A19" s="3">
        <f>'[1]4-32'!B23+'[1]4-33'!B23+'[1]4-34'!B23</f>
        <v>3116</v>
      </c>
      <c r="B19" s="3">
        <f>'[1]4-32'!C23+'[1]4-33'!C23+'[1]4-34'!C23</f>
        <v>2287</v>
      </c>
      <c r="C19" s="3">
        <f>'[1]4-32'!D23+'[1]4-33'!D23+'[1]4-34'!D23</f>
        <v>1</v>
      </c>
      <c r="D19" s="3">
        <f t="shared" si="0"/>
        <v>5404</v>
      </c>
      <c r="E19" s="3">
        <f>'[1]4-32'!F23+'[1]4-33'!F23+'[1]4-34'!F23</f>
        <v>2779</v>
      </c>
      <c r="F19" s="3">
        <f>'[1]4-32'!G23+'[1]4-33'!G23+'[1]4-34'!G23</f>
        <v>2624</v>
      </c>
      <c r="G19" s="3">
        <f>'[1]4-32'!H23+'[1]4-33'!H23+'[1]4-34'!H23</f>
        <v>1</v>
      </c>
      <c r="H19" s="3">
        <f>'[1]4-32'!I23+'[1]4-33'!I23+'[1]4-34'!I23</f>
        <v>4670</v>
      </c>
      <c r="I19" s="3">
        <f>'[1]4-32'!J23+'[1]4-33'!J23+'[1]4-34'!J23</f>
        <v>734</v>
      </c>
      <c r="J19" s="4" t="s">
        <v>28</v>
      </c>
    </row>
    <row r="20" spans="1:10" ht="15.5">
      <c r="A20" s="3">
        <f>'[1]4-32'!B24+'[1]4-33'!B24+'[1]4-34'!B24</f>
        <v>6487</v>
      </c>
      <c r="B20" s="3">
        <f>'[1]4-32'!C24+'[1]4-33'!C24+'[1]4-34'!C24</f>
        <v>3155</v>
      </c>
      <c r="C20" s="3">
        <f>'[1]4-32'!D24+'[1]4-33'!D24+'[1]4-34'!D24</f>
        <v>0</v>
      </c>
      <c r="D20" s="3">
        <f t="shared" si="0"/>
        <v>9642</v>
      </c>
      <c r="E20" s="3">
        <f>'[1]4-32'!F24+'[1]4-33'!F24+'[1]4-34'!F24</f>
        <v>4963</v>
      </c>
      <c r="F20" s="3">
        <f>'[1]4-32'!G24+'[1]4-33'!G24+'[1]4-34'!G24</f>
        <v>4677</v>
      </c>
      <c r="G20" s="3">
        <f>'[1]4-32'!H24+'[1]4-33'!H24+'[1]4-34'!H24</f>
        <v>2</v>
      </c>
      <c r="H20" s="3">
        <f>'[1]4-32'!I24+'[1]4-33'!I24+'[1]4-34'!I24</f>
        <v>8660</v>
      </c>
      <c r="I20" s="3">
        <f>'[1]4-32'!J24+'[1]4-33'!J24+'[1]4-34'!J24</f>
        <v>982</v>
      </c>
      <c r="J20" s="4" t="s">
        <v>29</v>
      </c>
    </row>
    <row r="21" spans="1:10" ht="15.5">
      <c r="A21" s="3">
        <f>'[1]4-32'!B25+'[1]4-33'!B25+'[1]4-34'!B25</f>
        <v>4120</v>
      </c>
      <c r="B21" s="3">
        <f>'[1]4-32'!C25+'[1]4-33'!C25+'[1]4-34'!C25</f>
        <v>1846</v>
      </c>
      <c r="C21" s="3">
        <f>'[1]4-32'!D25+'[1]4-33'!D25+'[1]4-34'!D25</f>
        <v>0</v>
      </c>
      <c r="D21" s="3">
        <f t="shared" si="0"/>
        <v>5966</v>
      </c>
      <c r="E21" s="3">
        <f>'[1]4-32'!F25+'[1]4-33'!F25+'[1]4-34'!F25</f>
        <v>3102</v>
      </c>
      <c r="F21" s="3">
        <f>'[1]4-32'!G25+'[1]4-33'!G25+'[1]4-34'!G25</f>
        <v>2863</v>
      </c>
      <c r="G21" s="3">
        <f>'[1]4-32'!H25+'[1]4-33'!H25+'[1]4-34'!H25</f>
        <v>1</v>
      </c>
      <c r="H21" s="3">
        <f>'[1]4-32'!I25+'[1]4-33'!I25+'[1]4-34'!I25</f>
        <v>5476</v>
      </c>
      <c r="I21" s="3">
        <f>'[1]4-32'!J25+'[1]4-33'!J25+'[1]4-34'!J25</f>
        <v>490</v>
      </c>
      <c r="J21" s="4" t="s">
        <v>30</v>
      </c>
    </row>
    <row r="22" spans="1:10" ht="31">
      <c r="A22" s="3">
        <f>'[1]4-32'!B26+'[1]4-33'!B26+'[1]4-34'!B26</f>
        <v>2180</v>
      </c>
      <c r="B22" s="3">
        <f>'[1]4-32'!C26+'[1]4-33'!C26+'[1]4-34'!C26</f>
        <v>1167</v>
      </c>
      <c r="C22" s="3">
        <f>'[1]4-32'!D26+'[1]4-33'!D26+'[1]4-34'!D26</f>
        <v>0</v>
      </c>
      <c r="D22" s="3">
        <f t="shared" si="0"/>
        <v>3347</v>
      </c>
      <c r="E22" s="3">
        <f>'[1]4-32'!F26+'[1]4-33'!F26+'[1]4-34'!F26</f>
        <v>1675</v>
      </c>
      <c r="F22" s="3">
        <f>'[1]4-32'!G26+'[1]4-33'!G26+'[1]4-34'!G26</f>
        <v>1670</v>
      </c>
      <c r="G22" s="3">
        <f>'[1]4-32'!H26+'[1]4-33'!H26+'[1]4-34'!H26</f>
        <v>2</v>
      </c>
      <c r="H22" s="3">
        <f>'[1]4-32'!I26+'[1]4-33'!I26+'[1]4-34'!I26</f>
        <v>2911</v>
      </c>
      <c r="I22" s="3">
        <f>'[1]4-32'!J26+'[1]4-33'!J26+'[1]4-34'!J26</f>
        <v>436</v>
      </c>
      <c r="J22" s="4" t="s">
        <v>31</v>
      </c>
    </row>
    <row r="23" spans="1:10" ht="15.5">
      <c r="A23" s="5">
        <f>SUM(A3:A22)</f>
        <v>304796</v>
      </c>
      <c r="B23" s="5">
        <f t="shared" ref="B23:D23" si="1">SUM(B3:B22)</f>
        <v>210167</v>
      </c>
      <c r="C23" s="5">
        <f t="shared" si="1"/>
        <v>5</v>
      </c>
      <c r="D23" s="5">
        <f t="shared" si="1"/>
        <v>514968</v>
      </c>
      <c r="E23" s="5">
        <f>SUM(E3:E22)</f>
        <v>263636</v>
      </c>
      <c r="F23" s="5">
        <f t="shared" ref="F23:G23" si="2">SUM(F3:F22)</f>
        <v>251250</v>
      </c>
      <c r="G23" s="5">
        <f t="shared" si="2"/>
        <v>82</v>
      </c>
      <c r="H23" s="5">
        <f>SUM(H3:H22)</f>
        <v>376603</v>
      </c>
      <c r="I23" s="5">
        <f t="shared" ref="I23" si="3">SUM(I3:I22)</f>
        <v>138365</v>
      </c>
      <c r="J23" s="6" t="s">
        <v>7</v>
      </c>
    </row>
    <row r="24" spans="1:10" ht="58">
      <c r="A24" s="8">
        <f>A23/D23</f>
        <v>0.59187366982026068</v>
      </c>
      <c r="B24" s="8">
        <f>B23/D23</f>
        <v>0.40811662083857636</v>
      </c>
      <c r="C24" s="8">
        <f>C23/D23</f>
        <v>9.7093411629460464E-6</v>
      </c>
      <c r="D24" s="8">
        <f>D23/D23</f>
        <v>1</v>
      </c>
      <c r="E24" s="9">
        <f>E23/D23</f>
        <v>0.51194637336688886</v>
      </c>
      <c r="F24" s="9">
        <f>F23/D23</f>
        <v>0.48789439343803886</v>
      </c>
      <c r="G24" s="9">
        <f>G23/D23</f>
        <v>1.5923319507231518E-4</v>
      </c>
      <c r="H24" s="10">
        <f>H23/D23</f>
        <v>0.73131340199779404</v>
      </c>
      <c r="I24" s="10">
        <f>I23/D23</f>
        <v>0.26868659800220596</v>
      </c>
      <c r="J24" s="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Ministry of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Falaa Mohammed Alahmari</dc:creator>
  <cp:lastModifiedBy>Falaa Mohammed Alahmari</cp:lastModifiedBy>
  <dcterms:created xsi:type="dcterms:W3CDTF">2026-01-05T08:15:51Z</dcterms:created>
  <dcterms:modified xsi:type="dcterms:W3CDTF">2026-01-05T08:17:13Z</dcterms:modified>
</cp:coreProperties>
</file>